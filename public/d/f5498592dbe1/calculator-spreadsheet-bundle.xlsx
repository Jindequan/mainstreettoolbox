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Food Cost" sheetId="2" state="visible" r:id="rId2"/>
    <sheet xmlns:r="http://schemas.openxmlformats.org/officeDocument/2006/relationships" name="2 Menu Pricing" sheetId="3" state="visible" r:id="rId3"/>
    <sheet xmlns:r="http://schemas.openxmlformats.org/officeDocument/2006/relationships" name="3 Tip Out" sheetId="4" state="visible" r:id="rId4"/>
    <sheet xmlns:r="http://schemas.openxmlformats.org/officeDocument/2006/relationships" name="4 Pour Cost" sheetId="5" state="visible" r:id="rId5"/>
    <sheet xmlns:r="http://schemas.openxmlformats.org/officeDocument/2006/relationships" name="5 Break-even" sheetId="6" state="visible" r:id="rId6"/>
    <sheet xmlns:r="http://schemas.openxmlformats.org/officeDocument/2006/relationships" name="6 Markup-Margin" sheetId="7" state="visible" r:id="rId7"/>
    <sheet xmlns:r="http://schemas.openxmlformats.org/officeDocument/2006/relationships" name="7 Discount" sheetId="8" state="visible" r:id="rId8"/>
    <sheet xmlns:r="http://schemas.openxmlformats.org/officeDocument/2006/relationships" name="8 Booth-Commis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color rgb="001E5B3E"/>
      <sz val="14"/>
    </font>
    <font>
      <i val="1"/>
      <color rgb="00888888"/>
      <sz val="9"/>
    </font>
    <font>
      <b val="1"/>
      <color rgb="001E5B3E"/>
      <sz val="11"/>
    </font>
    <font>
      <b val="1"/>
    </font>
    <font>
      <color rgb="00666666"/>
      <sz val="9"/>
    </font>
    <font>
      <b val="1"/>
      <color rgb="001E5B3E"/>
    </font>
    <font>
      <name val="Georgia"/>
      <b val="1"/>
      <color rgb="001E5B3E"/>
      <sz val="16"/>
    </font>
    <font>
      <name val="Calibri"/>
      <sz val="11"/>
    </font>
    <font>
      <name val="Courier New"/>
      <sz val="11"/>
    </font>
  </fonts>
  <fills count="3">
    <fill>
      <patternFill/>
    </fill>
    <fill>
      <patternFill patternType="gray125"/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Main Street Toolbox — Calculator Spreadsheet Bundle (2026)</t>
        </is>
      </c>
    </row>
    <row r="2">
      <c r="A2" s="2" t="inlineStr"/>
    </row>
    <row r="3">
      <c r="A3" s="2" t="inlineStr">
        <is>
          <t>8 editable calculators, one per tab. The formulas are the same ones that power the</t>
        </is>
      </c>
    </row>
    <row r="4">
      <c r="A4" s="2" t="inlineStr">
        <is>
          <t>free calculators at mainstreettoolbox.com — now in your own spreadsheet.</t>
        </is>
      </c>
    </row>
    <row r="5">
      <c r="A5" s="2" t="inlineStr"/>
    </row>
    <row r="6">
      <c r="A6" s="2" t="inlineStr">
        <is>
          <t>How to use: open a tab, edit the shaded input cells, read the results.</t>
        </is>
      </c>
    </row>
    <row r="7">
      <c r="A7" s="2" t="inlineStr">
        <is>
          <t>Every result row carries the healthy band for its trade as a note in column C.</t>
        </is>
      </c>
    </row>
    <row r="8">
      <c r="A8" s="2" t="inlineStr"/>
    </row>
    <row r="9">
      <c r="A9" s="2" t="inlineStr">
        <is>
          <t>Sheets:</t>
        </is>
      </c>
    </row>
    <row r="10">
      <c r="A10" s="3" t="inlineStr">
        <is>
          <t xml:space="preserve">  1 Food Cost      — food cost % + the price that fixes a high number</t>
        </is>
      </c>
    </row>
    <row r="11">
      <c r="A11" s="3" t="inlineStr">
        <is>
          <t xml:space="preserve">  2 Menu Pricing   — price a dish from a target food cost</t>
        </is>
      </c>
    </row>
    <row r="12">
      <c r="A12" s="3" t="inlineStr">
        <is>
          <t xml:space="preserve">  3 Tip Out        — split the tip pool with support staff</t>
        </is>
      </c>
    </row>
    <row r="13">
      <c r="A13" s="3" t="inlineStr">
        <is>
          <t xml:space="preserve">  4 Pour Cost      — per-pour cost, pours per bottle, target menu price</t>
        </is>
      </c>
    </row>
    <row r="14">
      <c r="A14" s="3" t="inlineStr">
        <is>
          <t xml:space="preserve">  5 Break-even     — covers per day and revenue to break even</t>
        </is>
      </c>
    </row>
    <row r="15">
      <c r="A15" s="3" t="inlineStr">
        <is>
          <t xml:space="preserve">  6 Markup-Margin  — the classic mix-up, both directions</t>
        </is>
      </c>
    </row>
    <row r="16">
      <c r="A16" s="3" t="inlineStr">
        <is>
          <t xml:space="preserve">  7 Discount       — how much more you must sell to afford a sale</t>
        </is>
      </c>
    </row>
    <row r="17">
      <c r="A17" s="3" t="inlineStr">
        <is>
          <t xml:space="preserve">  8 Booth-Commission — which pay structure leaves more in your pocket</t>
        </is>
      </c>
    </row>
    <row r="18">
      <c r="A18" s="2" t="inlineStr"/>
    </row>
    <row r="19">
      <c r="A19" s="2" t="inlineStr">
        <is>
          <t>Benchmarks: 2026 US industry bands, sources at mainstreettoolbox.com/benchmarks/</t>
        </is>
      </c>
    </row>
    <row r="20">
      <c r="A20" s="2" t="inlineStr"/>
    </row>
    <row r="21">
      <c r="A21" s="2" t="inlineStr">
        <is>
          <t>License: personal &amp; business use. No resale or redistribution.</t>
        </is>
      </c>
    </row>
    <row r="22">
      <c r="A22" s="2" t="inlineStr">
        <is>
          <t>© 2026 Main Street Toolbox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Food Cost Percentage Calculator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Plate cost ($)</t>
        </is>
      </c>
      <c r="B5" s="8" t="n">
        <v>6.5</v>
      </c>
      <c r="C5" s="9" t="inlineStr">
        <is>
          <t>Total cost of ingredients for one serving</t>
        </is>
      </c>
    </row>
    <row r="6">
      <c r="A6" s="7" t="inlineStr">
        <is>
          <t>Menu price ($)</t>
        </is>
      </c>
      <c r="B6" s="8" t="n">
        <v>24</v>
      </c>
      <c r="C6" s="9" t="inlineStr">
        <is>
          <t>What you charge</t>
        </is>
      </c>
    </row>
    <row r="7">
      <c r="A7" s="7" t="inlineStr">
        <is>
          <t>Target food cost (%)</t>
        </is>
      </c>
      <c r="B7" s="8" t="n">
        <v>30</v>
      </c>
      <c r="C7" s="9" t="inlineStr">
        <is>
          <t>Usual band 28–35 (full-service)</t>
        </is>
      </c>
    </row>
    <row r="8">
      <c r="A8" s="6" t="inlineStr">
        <is>
          <t>RESULTS</t>
        </is>
      </c>
    </row>
    <row r="9">
      <c r="A9" s="7" t="inlineStr">
        <is>
          <t>Food cost %</t>
        </is>
      </c>
      <c r="B9" s="10">
        <f>ROUND(B5/B6*100,1)</f>
        <v/>
      </c>
      <c r="C9" s="9" t="inlineStr">
        <is>
          <t>Healthy: 28–35% full-service, 25–30% QSR</t>
        </is>
      </c>
    </row>
    <row r="10">
      <c r="A10" s="7" t="inlineStr">
        <is>
          <t>Menu price to hit target (%)</t>
        </is>
      </c>
      <c r="B10" s="10">
        <f>ROUND(B5/(B7/100),2)</f>
        <v/>
      </c>
      <c r="C10" s="9" t="inlineStr">
        <is>
          <t>The price that fixes a high food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Menu Pricing from Target Food Cost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Dish cost ($)</t>
        </is>
      </c>
      <c r="B5" s="8" t="n">
        <v>6.5</v>
      </c>
      <c r="C5" s="9" t="inlineStr">
        <is>
          <t>Cost per serving</t>
        </is>
      </c>
    </row>
    <row r="6">
      <c r="A6" s="7" t="inlineStr">
        <is>
          <t>Target food cost (%)</t>
        </is>
      </c>
      <c r="B6" s="8" t="n">
        <v>30</v>
      </c>
      <c r="C6" s="9" t="inlineStr">
        <is>
          <t>28–35 typical</t>
        </is>
      </c>
    </row>
    <row r="7">
      <c r="A7" s="6" t="inlineStr">
        <is>
          <t>RESULTS</t>
        </is>
      </c>
    </row>
    <row r="8">
      <c r="A8" s="7" t="inlineStr">
        <is>
          <t>Menu price ($)</t>
        </is>
      </c>
      <c r="B8" s="10">
        <f>ROUND(B5/(B6/100),2)</f>
        <v/>
      </c>
      <c r="C8" s="9" t="inlineStr">
        <is>
          <t>Round to a psychological price point (.95/.50)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Tip Pool Split — Servers &amp; Support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Total tips ($)</t>
        </is>
      </c>
      <c r="B5" s="8" t="n">
        <v>500</v>
      </c>
      <c r="C5" s="9" t="inlineStr">
        <is>
          <t>The night's pool</t>
        </is>
      </c>
    </row>
    <row r="6">
      <c r="A6" s="7" t="inlineStr">
        <is>
          <t>Tip-out to support (%)</t>
        </is>
      </c>
      <c r="B6" s="8" t="n">
        <v>25</v>
      </c>
      <c r="C6" s="9" t="inlineStr">
        <is>
          <t>Typical 20–30% of tips</t>
        </is>
      </c>
    </row>
    <row r="7">
      <c r="A7" s="7" t="inlineStr">
        <is>
          <t>Support staff (people)</t>
        </is>
      </c>
      <c r="B7" s="8" t="n">
        <v>3</v>
      </c>
      <c r="C7" s="9" t="inlineStr">
        <is>
          <t>Bussers, runners, bar</t>
        </is>
      </c>
    </row>
    <row r="8">
      <c r="A8" s="6" t="inlineStr">
        <is>
          <t>RESULTS</t>
        </is>
      </c>
    </row>
    <row r="9">
      <c r="A9" s="7" t="inlineStr">
        <is>
          <t>Support pool ($)</t>
        </is>
      </c>
      <c r="B9" s="10">
        <f>ROUND(B5*B6/100,2)</f>
        <v/>
      </c>
    </row>
    <row r="10">
      <c r="A10" s="7" t="inlineStr">
        <is>
          <t>Per support person ($)</t>
        </is>
      </c>
      <c r="B10" s="10">
        <f>ROUND(B9/B7,2)</f>
        <v/>
      </c>
    </row>
    <row r="11">
      <c r="A11" s="7" t="inlineStr">
        <is>
          <t>Servers keep ($)</t>
        </is>
      </c>
      <c r="B11" s="10">
        <f>ROUND(B5-B9,2)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Pour Cost Calculator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Bottle cost ($)</t>
        </is>
      </c>
      <c r="B5" s="8" t="n">
        <v>24</v>
      </c>
      <c r="C5" s="9" t="inlineStr">
        <is>
          <t>What you pay per bottle</t>
        </is>
      </c>
    </row>
    <row r="6">
      <c r="A6" s="7" t="inlineStr">
        <is>
          <t>Bottle volume (ml)</t>
        </is>
      </c>
      <c r="B6" s="8" t="n">
        <v>750</v>
      </c>
      <c r="C6" s="9" t="inlineStr">
        <is>
          <t>Standard spirits bottle</t>
        </is>
      </c>
    </row>
    <row r="7">
      <c r="A7" s="7" t="inlineStr">
        <is>
          <t>Pour size (oz)</t>
        </is>
      </c>
      <c r="B7" s="8" t="n">
        <v>1.5</v>
      </c>
      <c r="C7" s="9" t="inlineStr">
        <is>
          <t>1.5 oz shot = 44.4 ml</t>
        </is>
      </c>
    </row>
    <row r="8">
      <c r="A8" s="7" t="inlineStr">
        <is>
          <t>Menu price ($)</t>
        </is>
      </c>
      <c r="B8" s="8" t="n">
        <v>12</v>
      </c>
      <c r="C8" s="9" t="inlineStr">
        <is>
          <t>What you charge per pour</t>
        </is>
      </c>
    </row>
    <row r="9">
      <c r="A9" s="6" t="inlineStr">
        <is>
          <t>RESULTS</t>
        </is>
      </c>
    </row>
    <row r="10">
      <c r="A10" s="7" t="inlineStr">
        <is>
          <t>Cost per pour ($)</t>
        </is>
      </c>
      <c r="B10" s="10">
        <f>ROUND(B5/(B6/(B7*29.5735)),2)</f>
        <v/>
      </c>
    </row>
    <row r="11">
      <c r="A11" s="7" t="inlineStr">
        <is>
          <t>Pours per bottle</t>
        </is>
      </c>
      <c r="B11" s="10">
        <f>ROUND(B6/(B7*29.5735),1)</f>
        <v/>
      </c>
    </row>
    <row r="12">
      <c r="A12" s="7" t="inlineStr">
        <is>
          <t>Pour cost %</t>
        </is>
      </c>
      <c r="B12" s="10">
        <f>ROUND(B10/B8*100,1)</f>
        <v/>
      </c>
      <c r="C12" s="9" t="inlineStr">
        <is>
          <t>Healthy: spirits 15–22%, draft 20–28%, wine 28–40%</t>
        </is>
      </c>
    </row>
    <row r="13">
      <c r="A13" s="7" t="inlineStr">
        <is>
          <t>Menu price for 20% pour ($)</t>
        </is>
      </c>
      <c r="B13" s="10">
        <f>ROUND(B10/0.2,2)</f>
        <v/>
      </c>
      <c r="C13" s="9" t="inlineStr">
        <is>
          <t>The price that fixes a high pour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Restaurant Break-even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Fixed costs / month ($)</t>
        </is>
      </c>
      <c r="B5" s="8" t="n">
        <v>18000</v>
      </c>
      <c r="C5" s="9" t="inlineStr">
        <is>
          <t>Rent, salaries, utilities, insurance</t>
        </is>
      </c>
    </row>
    <row r="6">
      <c r="A6" s="7" t="inlineStr">
        <is>
          <t>Average spend per cover ($)</t>
        </is>
      </c>
      <c r="B6" s="8" t="n">
        <v>32</v>
      </c>
      <c r="C6" s="9" t="inlineStr">
        <is>
          <t>Total sales ÷ covers</t>
        </is>
      </c>
    </row>
    <row r="7">
      <c r="A7" s="7" t="inlineStr">
        <is>
          <t>Variable cost (% of sales)</t>
        </is>
      </c>
      <c r="B7" s="8" t="n">
        <v>45</v>
      </c>
      <c r="C7" s="9" t="inlineStr">
        <is>
          <t>Food ~30% + variable labor etc.</t>
        </is>
      </c>
    </row>
    <row r="8">
      <c r="A8" s="7" t="inlineStr">
        <is>
          <t>Open days per month</t>
        </is>
      </c>
      <c r="B8" s="8" t="n">
        <v>26</v>
      </c>
    </row>
    <row r="9">
      <c r="A9" s="6" t="inlineStr">
        <is>
          <t>RESULTS</t>
        </is>
      </c>
    </row>
    <row r="10">
      <c r="A10" s="7" t="inlineStr">
        <is>
          <t>Covers needed per day</t>
        </is>
      </c>
      <c r="B10" s="10">
        <f>ROUND(B5/(B6*(1-B7/100))/B8,1)</f>
        <v/>
      </c>
      <c r="C10" s="9" t="inlineStr">
        <is>
          <t>Compare against your actual count</t>
        </is>
      </c>
    </row>
    <row r="11">
      <c r="A11" s="7" t="inlineStr">
        <is>
          <t>Revenue to break even ($/mo)</t>
        </is>
      </c>
      <c r="B11" s="10">
        <f>ROUND(B5/(1-B7/100),0)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Markup vs Margin Converter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Unit cost ($)</t>
        </is>
      </c>
      <c r="B5" s="8" t="n">
        <v>40</v>
      </c>
      <c r="C5" s="9" t="inlineStr">
        <is>
          <t>What the item costs you</t>
        </is>
      </c>
    </row>
    <row r="6">
      <c r="A6" s="7" t="inlineStr">
        <is>
          <t>Markup %</t>
        </is>
      </c>
      <c r="B6" s="8" t="n">
        <v>100</v>
      </c>
      <c r="C6" s="9" t="inlineStr">
        <is>
          <t>Markup on cost (keystone = 100%)</t>
        </is>
      </c>
    </row>
    <row r="7">
      <c r="A7" s="6" t="inlineStr">
        <is>
          <t>RESULTS</t>
        </is>
      </c>
    </row>
    <row r="8">
      <c r="A8" s="7" t="inlineStr">
        <is>
          <t>Selling price ($)</t>
        </is>
      </c>
      <c r="B8" s="10">
        <f>ROUND(B5*(1+B6/100),2)</f>
        <v/>
      </c>
    </row>
    <row r="9">
      <c r="A9" s="7" t="inlineStr">
        <is>
          <t>Margin %</t>
        </is>
      </c>
      <c r="B9" s="10">
        <f>ROUND(B6/(100+B6)*100,1)</f>
        <v/>
      </c>
      <c r="C9" s="9" t="inlineStr">
        <is>
          <t>100% markup = 50% margin</t>
        </is>
      </c>
    </row>
    <row r="10">
      <c r="A10" s="6" t="inlineStr">
        <is>
          <t>— flip: want a 40% margin? —</t>
        </is>
      </c>
    </row>
    <row r="11">
      <c r="A11" s="7" t="inlineStr">
        <is>
          <t>Price for target margin ($)</t>
        </is>
      </c>
      <c r="B11" s="10">
        <f>ROUND(B5/(1-0.4),2)</f>
        <v/>
      </c>
      <c r="C11" s="9" t="inlineStr">
        <is>
          <t>Change 0.4 to your target margin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Discount Reality Check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Current margin (%)</t>
        </is>
      </c>
      <c r="B5" s="8" t="n">
        <v>50</v>
      </c>
      <c r="C5" s="9" t="inlineStr">
        <is>
          <t>Profit as % of price</t>
        </is>
      </c>
    </row>
    <row r="6">
      <c r="A6" s="7" t="inlineStr">
        <is>
          <t>Planned discount (%)</t>
        </is>
      </c>
      <c r="B6" s="8" t="n">
        <v>20</v>
      </c>
      <c r="C6" s="9" t="inlineStr">
        <is>
          <t>The sale you're considering</t>
        </is>
      </c>
    </row>
    <row r="7">
      <c r="A7" s="6" t="inlineStr">
        <is>
          <t>RESULTS</t>
        </is>
      </c>
    </row>
    <row r="8">
      <c r="A8" s="7" t="inlineStr">
        <is>
          <t>New margin after discount (%)</t>
        </is>
      </c>
      <c r="B8" s="10">
        <f>ROUND(B5-B6,1)</f>
        <v/>
      </c>
    </row>
    <row r="9">
      <c r="A9" s="7" t="inlineStr">
        <is>
          <t>More units needed to break even (%)</t>
        </is>
      </c>
      <c r="B9" s="10">
        <f>ROUND((B5/(B5-B6)-1)*100,0)</f>
        <v/>
      </c>
      <c r="C9" s="9" t="inlineStr">
        <is>
          <t>50% margin, 20% off → +67% volume</t>
        </is>
      </c>
    </row>
    <row r="10">
      <c r="A10" s="7" t="inlineStr">
        <is>
          <t>Verdict</t>
        </is>
      </c>
      <c r="B10" s="10">
        <f>IF(B5-B6&lt;=0,"NEVER — discount exceeds margin",IF((B5/(B5-B6)-1)*100&gt;100,"Dangerous — must double sales","Workable if volume is realistic"))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4" t="inlineStr">
        <is>
          <t>Booth Rent vs Commission (stylists)</t>
        </is>
      </c>
    </row>
    <row r="2">
      <c r="A2" s="5" t="inlineStr">
        <is>
          <t>Edit the shaded input cells. Everything else computes live.</t>
        </is>
      </c>
    </row>
    <row r="4">
      <c r="A4" s="6" t="inlineStr">
        <is>
          <t>INPUTS</t>
        </is>
      </c>
    </row>
    <row r="5">
      <c r="A5" s="7" t="inlineStr">
        <is>
          <t>Weekly sales ($)</t>
        </is>
      </c>
      <c r="B5" s="8" t="n">
        <v>1800</v>
      </c>
      <c r="C5" s="9" t="inlineStr">
        <is>
          <t>Your typical week</t>
        </is>
      </c>
    </row>
    <row r="6">
      <c r="A6" s="7" t="inlineStr">
        <is>
          <t>Commission split you keep (%)</t>
        </is>
      </c>
      <c r="B6" s="8" t="n">
        <v>45</v>
      </c>
      <c r="C6" s="9" t="inlineStr">
        <is>
          <t>New stylists 40–50%, toward 60% with book</t>
        </is>
      </c>
    </row>
    <row r="7">
      <c r="A7" s="7" t="inlineStr">
        <is>
          <t>Booth rent offered ($/week)</t>
        </is>
      </c>
      <c r="B7" s="8" t="n">
        <v>300</v>
      </c>
      <c r="C7" s="9" t="inlineStr">
        <is>
          <t>The landlord's quote</t>
        </is>
      </c>
    </row>
    <row r="8">
      <c r="A8" s="6" t="inlineStr">
        <is>
          <t>RESULTS</t>
        </is>
      </c>
    </row>
    <row r="9">
      <c r="A9" s="7" t="inlineStr">
        <is>
          <t>Commission income ($/wk)</t>
        </is>
      </c>
      <c r="B9" s="10">
        <f>ROUND(B5*B6/100,2)</f>
        <v/>
      </c>
    </row>
    <row r="10">
      <c r="A10" s="7" t="inlineStr">
        <is>
          <t>Booth income ($/wk)</t>
        </is>
      </c>
      <c r="B10" s="10">
        <f>ROUND(B5-B7,2)</f>
        <v/>
      </c>
      <c r="C10" s="9" t="inlineStr">
        <is>
          <t>Sales minus rent</t>
        </is>
      </c>
    </row>
    <row r="11">
      <c r="A11" s="7" t="inlineStr">
        <is>
          <t>Better deal</t>
        </is>
      </c>
      <c r="B11" s="10">
        <f>IF(B8&gt;B7,"BOOTH — you keep "&amp;TEXT(B8-B9,"$0")&amp;"/wk more",IF(B9&gt;B8,"COMMISSION — you keep "&amp;TEXT(B9-B8,"$0")&amp;"/wk more","Even — negotiate either"))</f>
        <v/>
      </c>
      <c r="C11" s="9" t="inlineStr">
        <is>
          <t>Rule of thumb: rent ≤ 15–25% of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2026-09-19T11:47:47Z</dcterms:created>
  <dcterms:modified xmlns:dcterms="http://purl.org/dc/terms/" xmlns:xsi="http://www.w3.org/2001/XMLSchema-instance" xsi:type="dcterms:W3CDTF">2026-09-19T11:47:47Z</dcterms:modified>
</cp:coreProperties>
</file>